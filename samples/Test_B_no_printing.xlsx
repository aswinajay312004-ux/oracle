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-55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FE6"/>
      </patternFill>
    </fill>
  </fills>
  <borders count="9">
    <border>
      <left/>
      <right/>
      <top/>
      <bottom/>
      <diagonal/>
    </border>
    <border>
      <left style="thin">
        <color rgb="009AA5A0"/>
      </left>
      <right style="thin">
        <color rgb="009AA5A0"/>
      </right>
      <top style="thin">
        <color rgb="009AA5A0"/>
      </top>
      <bottom style="thin">
        <color rgb="009AA5A0"/>
      </bottom>
    </border>
    <border>
      <left/>
      <right/>
      <top style="thin">
        <color rgb="009AA5A0"/>
      </top>
      <bottom/>
      <diagonal/>
    </border>
    <border>
      <left/>
      <right style="thin">
        <color rgb="009AA5A0"/>
      </right>
      <top style="thin">
        <color rgb="009AA5A0"/>
      </top>
      <bottom/>
      <diagonal/>
    </border>
    <border>
      <left/>
      <right/>
      <top style="thin">
        <color rgb="009AA5A0"/>
      </top>
      <bottom style="thin">
        <color rgb="009AA5A0"/>
      </bottom>
      <diagonal/>
    </border>
    <border>
      <left/>
      <right style="thin">
        <color rgb="009AA5A0"/>
      </right>
      <top style="thin">
        <color rgb="009AA5A0"/>
      </top>
      <bottom style="thin">
        <color rgb="009AA5A0"/>
      </bottom>
      <diagonal/>
    </border>
    <border>
      <left style="thin">
        <color rgb="009AA5A0"/>
      </left>
      <right/>
      <top/>
      <bottom/>
      <diagonal/>
    </border>
    <border>
      <left style="thin">
        <color rgb="009AA5A0"/>
      </left>
      <right style="thin">
        <color rgb="009AA5A0"/>
      </right>
      <top/>
      <bottom/>
      <diagonal/>
    </border>
    <border>
      <left style="thin">
        <color rgb="009AA5A0"/>
      </left>
      <right style="thin">
        <color rgb="009AA5A0"/>
      </right>
      <top/>
      <bottom style="thin">
        <color rgb="009AA5A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pivotButton="0" quotePrefix="0" xfId="0"/>
    <xf numFmtId="2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59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1" t="inlineStr">
        <is>
          <t>MAPLE &amp; MOSS BABY CO - BOM</t>
        </is>
      </c>
    </row>
    <row r="2">
      <c r="B2" s="2" t="inlineStr">
        <is>
          <t>BUYER</t>
        </is>
      </c>
      <c r="C2" s="3" t="inlineStr">
        <is>
          <t>MAPLE &amp; MOSS BABY CO</t>
        </is>
      </c>
      <c r="D2" s="2" t="inlineStr">
        <is>
          <t>BOM DATE</t>
        </is>
      </c>
      <c r="E2" s="4" t="n">
        <v>46364</v>
      </c>
      <c r="F2" s="5" t="n"/>
      <c r="G2" s="6" t="n"/>
      <c r="I2" s="2" t="inlineStr">
        <is>
          <t>SHIP MODE</t>
        </is>
      </c>
      <c r="J2" s="3" t="inlineStr">
        <is>
          <t>AIR</t>
        </is>
      </c>
    </row>
    <row r="3">
      <c r="B3" s="2" t="inlineStr">
        <is>
          <t>SEASON</t>
        </is>
      </c>
      <c r="C3" s="3" t="inlineStr">
        <is>
          <t>SS-28</t>
        </is>
      </c>
      <c r="D3" s="2" t="inlineStr">
        <is>
          <t>FOB DATE</t>
        </is>
      </c>
      <c r="E3" s="4" t="n">
        <v>46507</v>
      </c>
      <c r="F3" s="5" t="n"/>
      <c r="G3" s="6" t="n"/>
      <c r="I3" s="2" t="inlineStr">
        <is>
          <t>PAYMENT TERMS</t>
        </is>
      </c>
      <c r="J3" s="3" t="inlineStr">
        <is>
          <t>LC 60 DAYS</t>
        </is>
      </c>
    </row>
    <row r="4">
      <c r="B4" s="2" t="inlineStr">
        <is>
          <t>ITEM</t>
        </is>
      </c>
      <c r="C4" s="3" t="inlineStr">
        <is>
          <t>MM-5520</t>
        </is>
      </c>
      <c r="D4" s="2" t="inlineStr">
        <is>
          <t>FAB IH DATE</t>
        </is>
      </c>
      <c r="E4" s="4" t="n">
        <v>46433</v>
      </c>
      <c r="F4" s="5" t="n"/>
      <c r="G4" s="6" t="n"/>
    </row>
    <row r="5">
      <c r="B5" s="2" t="inlineStr">
        <is>
          <t>DESCRIPTION</t>
        </is>
      </c>
      <c r="C5" s="3" t="inlineStr">
        <is>
          <t>TODDLER 3PK RIB LEGGING</t>
        </is>
      </c>
      <c r="D5" s="2" t="inlineStr">
        <is>
          <t>CONTRACT</t>
        </is>
      </c>
      <c r="E5" s="3" t="inlineStr">
        <is>
          <t>MM-PO-44031</t>
        </is>
      </c>
      <c r="F5" s="5" t="n"/>
      <c r="G5" s="6" t="n"/>
    </row>
    <row r="6">
      <c r="B6" s="2" t="inlineStr">
        <is>
          <t>MERCHANDISER</t>
        </is>
      </c>
      <c r="C6" s="3" t="inlineStr">
        <is>
          <t>K. ARAVIND</t>
        </is>
      </c>
      <c r="D6" s="2" t="inlineStr">
        <is>
          <t>DESTINATION</t>
        </is>
      </c>
      <c r="E6" s="3" t="inlineStr">
        <is>
          <t>GERMANY - AIR</t>
        </is>
      </c>
      <c r="F6" s="5" t="n"/>
      <c r="G6" s="6" t="n"/>
    </row>
    <row r="8">
      <c r="B8" s="7" t="inlineStr">
        <is>
          <t>OCN</t>
        </is>
      </c>
      <c r="C8" s="7" t="inlineStr">
        <is>
          <t>QTY(IN PACKS)</t>
        </is>
      </c>
      <c r="D8" s="7" t="inlineStr">
        <is>
          <t>QTY(IN PIECES)</t>
        </is>
      </c>
      <c r="G8" s="7" t="inlineStr">
        <is>
          <t>Price in USD</t>
        </is>
      </c>
    </row>
    <row r="9">
      <c r="B9" s="3" t="inlineStr">
        <is>
          <t>MM-OC-55207</t>
        </is>
      </c>
      <c r="C9" s="3" t="n">
        <v>450</v>
      </c>
      <c r="D9" s="3">
        <f>C9*3</f>
        <v>1350</v>
      </c>
      <c r="G9" s="8" t="n">
        <v>3.15</v>
      </c>
    </row>
    <row r="11">
      <c r="B11" s="7" t="inlineStr">
        <is>
          <t>Garment</t>
        </is>
      </c>
      <c r="C11" s="7" t="inlineStr">
        <is>
          <t>Description</t>
        </is>
      </c>
      <c r="D11" s="7" t="inlineStr">
        <is>
          <t>CONTRACT</t>
        </is>
      </c>
      <c r="E11" s="7" t="inlineStr">
        <is>
          <t>2T</t>
        </is>
      </c>
      <c r="F11" s="7" t="inlineStr">
        <is>
          <t>3T</t>
        </is>
      </c>
      <c r="G11" s="7" t="inlineStr">
        <is>
          <t>4T</t>
        </is>
      </c>
      <c r="H11" s="7" t="inlineStr">
        <is>
          <t>5T</t>
        </is>
      </c>
      <c r="I11" s="7" t="inlineStr">
        <is>
          <t>Total</t>
        </is>
      </c>
    </row>
    <row r="12">
      <c r="B12" s="3" t="inlineStr">
        <is>
          <t>GARMENT-1 LEGGING</t>
        </is>
      </c>
      <c r="C12" s="3" t="inlineStr">
        <is>
          <t>NAVY</t>
        </is>
      </c>
      <c r="D12" s="3" t="inlineStr">
        <is>
          <t>MM-PO-44031 DIR</t>
        </is>
      </c>
      <c r="E12" s="3" t="n">
        <v>75</v>
      </c>
      <c r="F12" s="3" t="n">
        <v>150</v>
      </c>
      <c r="G12" s="3" t="n">
        <v>150</v>
      </c>
      <c r="H12" s="3" t="n">
        <v>75</v>
      </c>
      <c r="I12" s="3">
        <f>SUM(E12:H12)</f>
        <v>450</v>
      </c>
    </row>
    <row r="13">
      <c r="B13" s="3" t="inlineStr">
        <is>
          <t>GARMENT-2 LEGGING</t>
        </is>
      </c>
      <c r="C13" s="3" t="inlineStr">
        <is>
          <t>HEATHER GREY</t>
        </is>
      </c>
      <c r="D13" s="9" t="n"/>
      <c r="E13" s="3" t="n">
        <v>75</v>
      </c>
      <c r="F13" s="3" t="n">
        <v>150</v>
      </c>
      <c r="G13" s="3" t="n">
        <v>150</v>
      </c>
      <c r="H13" s="3" t="n">
        <v>75</v>
      </c>
      <c r="I13" s="3">
        <f>SUM(E13:H13)</f>
        <v>450</v>
      </c>
    </row>
    <row r="14">
      <c r="B14" s="3" t="inlineStr">
        <is>
          <t>GARMENT-3 LEGGING</t>
        </is>
      </c>
      <c r="C14" s="3" t="inlineStr">
        <is>
          <t>BLUSH PINK</t>
        </is>
      </c>
      <c r="D14" s="10" t="n"/>
      <c r="E14" s="3" t="n">
        <v>75</v>
      </c>
      <c r="F14" s="3" t="n">
        <v>150</v>
      </c>
      <c r="G14" s="3" t="n">
        <v>150</v>
      </c>
      <c r="H14" s="3" t="n">
        <v>75</v>
      </c>
      <c r="I14" s="3">
        <f>SUM(E14:H14)</f>
        <v>450</v>
      </c>
    </row>
    <row r="15">
      <c r="B15" s="2" t="inlineStr">
        <is>
          <t>Total</t>
        </is>
      </c>
      <c r="C15" s="6" t="n"/>
      <c r="E15" s="3">
        <f>SUM(E12:E14)</f>
        <v>225</v>
      </c>
      <c r="F15" s="3">
        <f>SUM(F12:F14)</f>
        <v>450</v>
      </c>
      <c r="G15" s="3">
        <f>SUM(G12:G14)</f>
        <v>450</v>
      </c>
      <c r="H15" s="3">
        <f>SUM(H12:H14)</f>
        <v>225</v>
      </c>
      <c r="I15" s="3">
        <f>SUM(I12:I14)</f>
        <v>1350</v>
      </c>
    </row>
    <row r="17">
      <c r="B17" s="7" t="inlineStr">
        <is>
          <t>Garment</t>
        </is>
      </c>
      <c r="C17" s="7" t="inlineStr">
        <is>
          <t>Description</t>
        </is>
      </c>
      <c r="D17" s="7" t="inlineStr">
        <is>
          <t>CONTRACT</t>
        </is>
      </c>
      <c r="E17" s="7" t="inlineStr">
        <is>
          <t>2T</t>
        </is>
      </c>
      <c r="F17" s="7" t="inlineStr">
        <is>
          <t>3T</t>
        </is>
      </c>
      <c r="G17" s="7" t="inlineStr">
        <is>
          <t>4T</t>
        </is>
      </c>
      <c r="H17" s="7" t="inlineStr">
        <is>
          <t>5T</t>
        </is>
      </c>
      <c r="I17" s="7" t="inlineStr">
        <is>
          <t>Total</t>
        </is>
      </c>
    </row>
    <row r="18">
      <c r="B18" s="3" t="inlineStr">
        <is>
          <t>GARMENT-1 LEGGING</t>
        </is>
      </c>
      <c r="C18" s="3" t="inlineStr">
        <is>
          <t>NAVY</t>
        </is>
      </c>
      <c r="D18" s="3" t="inlineStr">
        <is>
          <t>SAMPLE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>
        <f>SUM(E18:H18)</f>
        <v>0</v>
      </c>
    </row>
    <row r="19">
      <c r="B19" s="3" t="inlineStr">
        <is>
          <t>GARMENT-2 LEGGING</t>
        </is>
      </c>
      <c r="C19" s="3" t="inlineStr">
        <is>
          <t>HEATHER GREY</t>
        </is>
      </c>
      <c r="D19" s="9" t="n"/>
      <c r="E19" s="3" t="n">
        <v>0</v>
      </c>
      <c r="F19" s="3" t="n">
        <v>0</v>
      </c>
      <c r="G19" s="3" t="n">
        <v>0</v>
      </c>
      <c r="H19" s="3" t="n">
        <v>0</v>
      </c>
      <c r="I19" s="3">
        <f>SUM(E19:H19)</f>
        <v>0</v>
      </c>
    </row>
    <row r="20">
      <c r="B20" s="3" t="inlineStr">
        <is>
          <t>GARMENT-3 LEGGING</t>
        </is>
      </c>
      <c r="C20" s="3" t="inlineStr">
        <is>
          <t>BLUSH PINK</t>
        </is>
      </c>
      <c r="D20" s="10" t="n"/>
      <c r="E20" s="3" t="n">
        <v>0</v>
      </c>
      <c r="F20" s="3" t="n">
        <v>0</v>
      </c>
      <c r="G20" s="3" t="n">
        <v>0</v>
      </c>
      <c r="H20" s="3" t="n">
        <v>0</v>
      </c>
      <c r="I20" s="3">
        <f>SUM(E20:H20)</f>
        <v>0</v>
      </c>
    </row>
    <row r="21">
      <c r="B21" s="2" t="inlineStr">
        <is>
          <t>Total</t>
        </is>
      </c>
      <c r="C21" s="6" t="n"/>
      <c r="E21" s="3">
        <f>SUM(E18:E20)</f>
        <v>0</v>
      </c>
      <c r="F21" s="3">
        <f>SUM(F18:F20)</f>
        <v>0</v>
      </c>
      <c r="G21" s="3">
        <f>SUM(G18:G20)</f>
        <v>0</v>
      </c>
      <c r="H21" s="3">
        <f>SUM(H18:H20)</f>
        <v>0</v>
      </c>
      <c r="I21" s="3">
        <f>SUM(I18:I20)</f>
        <v>0</v>
      </c>
    </row>
    <row r="23">
      <c r="B23" s="7" t="inlineStr">
        <is>
          <t>Garment</t>
        </is>
      </c>
      <c r="C23" s="7" t="inlineStr">
        <is>
          <t>Description</t>
        </is>
      </c>
      <c r="D23" s="7" t="inlineStr">
        <is>
          <t>CONTRACT</t>
        </is>
      </c>
      <c r="E23" s="7" t="inlineStr">
        <is>
          <t>2T</t>
        </is>
      </c>
      <c r="F23" s="7" t="inlineStr">
        <is>
          <t>3T</t>
        </is>
      </c>
      <c r="G23" s="7" t="inlineStr">
        <is>
          <t>4T</t>
        </is>
      </c>
      <c r="H23" s="7" t="inlineStr">
        <is>
          <t>5T</t>
        </is>
      </c>
      <c r="I23" s="7" t="inlineStr">
        <is>
          <t>Total</t>
        </is>
      </c>
    </row>
    <row r="24">
      <c r="B24" s="3" t="inlineStr">
        <is>
          <t>GARMENT-1 LEGGING</t>
        </is>
      </c>
      <c r="C24" s="3" t="inlineStr">
        <is>
          <t>NAVY</t>
        </is>
      </c>
      <c r="D24" s="3" t="inlineStr">
        <is>
          <t>SUMMARY</t>
        </is>
      </c>
      <c r="E24" s="3" t="n">
        <v>75</v>
      </c>
      <c r="F24" s="3" t="n">
        <v>150</v>
      </c>
      <c r="G24" s="3" t="n">
        <v>150</v>
      </c>
      <c r="H24" s="3" t="n">
        <v>75</v>
      </c>
      <c r="I24" s="3">
        <f>SUM(E24:H24)</f>
        <v>450</v>
      </c>
    </row>
    <row r="25">
      <c r="B25" s="3" t="inlineStr">
        <is>
          <t>GARMENT-2 LEGGING</t>
        </is>
      </c>
      <c r="C25" s="3" t="inlineStr">
        <is>
          <t>HEATHER GREY</t>
        </is>
      </c>
      <c r="D25" s="9" t="n"/>
      <c r="E25" s="3" t="n">
        <v>75</v>
      </c>
      <c r="F25" s="3" t="n">
        <v>150</v>
      </c>
      <c r="G25" s="3" t="n">
        <v>150</v>
      </c>
      <c r="H25" s="3" t="n">
        <v>75</v>
      </c>
      <c r="I25" s="3">
        <f>SUM(E25:H25)</f>
        <v>450</v>
      </c>
    </row>
    <row r="26">
      <c r="B26" s="3" t="inlineStr">
        <is>
          <t>GARMENT-3 LEGGING</t>
        </is>
      </c>
      <c r="C26" s="3" t="inlineStr">
        <is>
          <t>BLUSH PINK</t>
        </is>
      </c>
      <c r="D26" s="10" t="n"/>
      <c r="E26" s="3" t="n">
        <v>75</v>
      </c>
      <c r="F26" s="3" t="n">
        <v>150</v>
      </c>
      <c r="G26" s="3" t="n">
        <v>150</v>
      </c>
      <c r="H26" s="3" t="n">
        <v>75</v>
      </c>
      <c r="I26" s="3">
        <f>SUM(E26:H26)</f>
        <v>450</v>
      </c>
    </row>
    <row r="27">
      <c r="B27" s="2" t="inlineStr">
        <is>
          <t>Total</t>
        </is>
      </c>
      <c r="C27" s="6" t="n"/>
      <c r="E27" s="3">
        <f>SUM(E24:E26)</f>
        <v>225</v>
      </c>
      <c r="F27" s="3">
        <f>SUM(F24:F26)</f>
        <v>450</v>
      </c>
      <c r="G27" s="3">
        <f>SUM(G24:G26)</f>
        <v>450</v>
      </c>
      <c r="H27" s="3">
        <f>SUM(H24:H26)</f>
        <v>225</v>
      </c>
      <c r="I27" s="3">
        <f>SUM(I24:I26)</f>
        <v>1350</v>
      </c>
    </row>
    <row r="29">
      <c r="B29" s="11" t="inlineStr">
        <is>
          <t>FABRIC REQUIREMENT</t>
        </is>
      </c>
    </row>
    <row r="30">
      <c r="B30" s="7" t="inlineStr">
        <is>
          <t>Garment</t>
        </is>
      </c>
      <c r="C30" s="7" t="inlineStr">
        <is>
          <t>Colour Description</t>
        </is>
      </c>
      <c r="D30" s="7" t="inlineStr">
        <is>
          <t>Base Colour</t>
        </is>
      </c>
      <c r="E30" s="7" t="inlineStr">
        <is>
          <t>Fabric Quality</t>
        </is>
      </c>
      <c r="F30" s="7" t="inlineStr">
        <is>
          <t>Gsm</t>
        </is>
      </c>
      <c r="G30" s="7" t="inlineStr">
        <is>
          <t>Content</t>
        </is>
      </c>
      <c r="H30" s="7" t="inlineStr">
        <is>
          <t>Count</t>
        </is>
      </c>
      <c r="I30" s="7" t="inlineStr">
        <is>
          <t>Dia</t>
        </is>
      </c>
      <c r="J30" s="7" t="inlineStr">
        <is>
          <t>Order Qty</t>
        </is>
      </c>
      <c r="K30" s="7" t="inlineStr">
        <is>
          <t>YY</t>
        </is>
      </c>
      <c r="L30" s="7" t="inlineStr">
        <is>
          <t>Requirment</t>
        </is>
      </c>
      <c r="M30" s="7" t="inlineStr">
        <is>
          <t>Rej 3%</t>
        </is>
      </c>
      <c r="N30" s="7" t="inlineStr">
        <is>
          <t>Total Qty</t>
        </is>
      </c>
    </row>
    <row r="31">
      <c r="B31" s="3" t="inlineStr">
        <is>
          <t>Garment - 1 BODY</t>
        </is>
      </c>
      <c r="C31" s="3" t="inlineStr">
        <is>
          <t>NAVY</t>
        </is>
      </c>
      <c r="D31" s="3" t="inlineStr">
        <is>
          <t>NAVY</t>
        </is>
      </c>
      <c r="E31" s="3" t="inlineStr">
        <is>
          <t>2x2 Rib</t>
        </is>
      </c>
      <c r="F31" s="3" t="n">
        <v>220</v>
      </c>
      <c r="G31" s="3" t="inlineStr">
        <is>
          <t>95% Cotton 5% Elastane</t>
        </is>
      </c>
      <c r="H31" s="3" t="inlineStr">
        <is>
          <t>30'S</t>
        </is>
      </c>
      <c r="I31" s="3" t="inlineStr">
        <is>
          <t>32 Dia</t>
        </is>
      </c>
      <c r="J31" s="3" t="n">
        <v>450</v>
      </c>
      <c r="K31" s="3" t="n">
        <v>0.18</v>
      </c>
      <c r="L31" s="3">
        <f>J31*K31</f>
        <v>81.0</v>
      </c>
      <c r="M31" s="3" t="n">
        <v>1.03</v>
      </c>
      <c r="N31" s="3">
        <f>L31*M31</f>
        <v>83.43</v>
      </c>
    </row>
    <row r="32">
      <c r="B32" s="3" t="inlineStr">
        <is>
          <t>Garment - 2 BODY</t>
        </is>
      </c>
      <c r="C32" s="3" t="inlineStr">
        <is>
          <t>HEATHER GREY</t>
        </is>
      </c>
      <c r="D32" s="3" t="inlineStr">
        <is>
          <t>GREY MEL</t>
        </is>
      </c>
      <c r="E32" s="3" t="inlineStr">
        <is>
          <t>2x2 Rib</t>
        </is>
      </c>
      <c r="F32" s="3" t="n">
        <v>220</v>
      </c>
      <c r="G32" s="3" t="inlineStr">
        <is>
          <t>95% Cotton 5% Elastane</t>
        </is>
      </c>
      <c r="H32" s="3" t="inlineStr">
        <is>
          <t>30'S</t>
        </is>
      </c>
      <c r="I32" s="3" t="inlineStr">
        <is>
          <t>32 Dia</t>
        </is>
      </c>
      <c r="J32" s="3" t="n">
        <v>450</v>
      </c>
      <c r="K32" s="3" t="n">
        <v>0.18</v>
      </c>
      <c r="L32" s="3">
        <f>J32*K32</f>
        <v>81.0</v>
      </c>
      <c r="M32" s="3" t="n">
        <v>1.03</v>
      </c>
      <c r="N32" s="3">
        <f>L32*M32</f>
        <v>83.43</v>
      </c>
    </row>
    <row r="33">
      <c r="B33" s="3" t="inlineStr">
        <is>
          <t>Garment - 3 BODY</t>
        </is>
      </c>
      <c r="C33" s="3" t="inlineStr">
        <is>
          <t>BLUSH PINK</t>
        </is>
      </c>
      <c r="D33" s="3" t="inlineStr">
        <is>
          <t>BLUSH</t>
        </is>
      </c>
      <c r="E33" s="3" t="inlineStr">
        <is>
          <t>2x2 Rib</t>
        </is>
      </c>
      <c r="F33" s="3" t="n">
        <v>220</v>
      </c>
      <c r="G33" s="3" t="inlineStr">
        <is>
          <t>95% Cotton 5% Elastane</t>
        </is>
      </c>
      <c r="H33" s="3" t="inlineStr">
        <is>
          <t>30'S</t>
        </is>
      </c>
      <c r="I33" s="3" t="inlineStr">
        <is>
          <t>32 Dia</t>
        </is>
      </c>
      <c r="J33" s="3" t="n">
        <v>450</v>
      </c>
      <c r="K33" s="3" t="n">
        <v>0.18</v>
      </c>
      <c r="L33" s="3">
        <f>J33*K33</f>
        <v>81.0</v>
      </c>
      <c r="M33" s="3" t="n">
        <v>1.03</v>
      </c>
      <c r="N33" s="3">
        <f>L33*M33</f>
        <v>83.43</v>
      </c>
    </row>
    <row r="35">
      <c r="B35" s="11" t="inlineStr">
        <is>
          <t>CARE LABEL</t>
        </is>
      </c>
    </row>
    <row r="36">
      <c r="B36" s="7" t="inlineStr">
        <is>
          <t>Garment</t>
        </is>
      </c>
      <c r="C36" s="7" t="inlineStr">
        <is>
          <t>CODE</t>
        </is>
      </c>
      <c r="D36" s="7" t="inlineStr">
        <is>
          <t>Size</t>
        </is>
      </c>
      <c r="E36" s="7" t="inlineStr">
        <is>
          <t>Supplier</t>
        </is>
      </c>
      <c r="F36" s="7" t="inlineStr">
        <is>
          <t>Order Qty</t>
        </is>
      </c>
      <c r="G36" s="7" t="inlineStr">
        <is>
          <t>YY</t>
        </is>
      </c>
      <c r="H36" s="7" t="inlineStr">
        <is>
          <t>Required Qty</t>
        </is>
      </c>
      <c r="I36" s="7" t="inlineStr">
        <is>
          <t>Rejection</t>
        </is>
      </c>
      <c r="J36" s="7" t="inlineStr">
        <is>
          <t>Req In Single</t>
        </is>
      </c>
    </row>
    <row r="37">
      <c r="B37" s="3" t="inlineStr">
        <is>
          <t>ALL GARMENTS</t>
        </is>
      </c>
      <c r="C37" s="3" t="inlineStr">
        <is>
          <t>CARE-MM-5520</t>
        </is>
      </c>
      <c r="D37" s="3" t="inlineStr">
        <is>
          <t>ALL SIZES</t>
        </is>
      </c>
      <c r="E37" s="3" t="inlineStr">
        <is>
          <t>MTR</t>
        </is>
      </c>
      <c r="F37" s="3" t="n">
        <v>1350</v>
      </c>
      <c r="G37" s="3" t="n">
        <v>1</v>
      </c>
      <c r="H37" s="3">
        <f>F37*G37</f>
        <v>1350</v>
      </c>
      <c r="I37" s="3" t="n">
        <v>1.03</v>
      </c>
      <c r="J37" s="3">
        <f>H37*I37</f>
        <v>1390.5</v>
      </c>
    </row>
    <row r="38">
      <c r="D38" s="2" t="inlineStr">
        <is>
          <t>TOTAL</t>
        </is>
      </c>
      <c r="F38" s="3">
        <f>F37</f>
        <v>1350</v>
      </c>
    </row>
    <row r="40">
      <c r="B40" s="11" t="inlineStr">
        <is>
          <t>MAIN LABEL</t>
        </is>
      </c>
    </row>
    <row r="41">
      <c r="B41" s="7" t="inlineStr">
        <is>
          <t>Garment</t>
        </is>
      </c>
      <c r="C41" s="7" t="inlineStr">
        <is>
          <t>CODE</t>
        </is>
      </c>
      <c r="D41" s="7" t="inlineStr">
        <is>
          <t>Size</t>
        </is>
      </c>
      <c r="E41" s="7" t="inlineStr">
        <is>
          <t>Supplier</t>
        </is>
      </c>
      <c r="F41" s="7" t="inlineStr">
        <is>
          <t>Order Qty</t>
        </is>
      </c>
      <c r="G41" s="7" t="inlineStr">
        <is>
          <t>YY</t>
        </is>
      </c>
      <c r="H41" s="7" t="inlineStr">
        <is>
          <t>Required Qty</t>
        </is>
      </c>
      <c r="I41" s="7" t="inlineStr">
        <is>
          <t>Rejection</t>
        </is>
      </c>
      <c r="J41" s="7" t="inlineStr">
        <is>
          <t>Req In Single</t>
        </is>
      </c>
    </row>
    <row r="42">
      <c r="B42" s="3" t="inlineStr">
        <is>
          <t>ALL GARMENTS</t>
        </is>
      </c>
      <c r="C42" s="3" t="inlineStr">
        <is>
          <t>ML-MM-5520</t>
        </is>
      </c>
      <c r="D42" s="3" t="inlineStr">
        <is>
          <t>ALL SIZES</t>
        </is>
      </c>
      <c r="E42" s="3" t="inlineStr">
        <is>
          <t>PCS</t>
        </is>
      </c>
      <c r="F42" s="3" t="n">
        <v>1350</v>
      </c>
      <c r="G42" s="3" t="n">
        <v>1</v>
      </c>
      <c r="H42" s="3">
        <f>F42*G42</f>
        <v>1350</v>
      </c>
      <c r="I42" s="3" t="n">
        <v>1.03</v>
      </c>
      <c r="J42" s="3">
        <f>H42*I42</f>
        <v>1390.5</v>
      </c>
    </row>
    <row r="43">
      <c r="D43" s="2" t="inlineStr">
        <is>
          <t>TOTAL</t>
        </is>
      </c>
      <c r="F43" s="3">
        <f>F42</f>
        <v>1350</v>
      </c>
    </row>
    <row r="45">
      <c r="B45" s="11" t="inlineStr">
        <is>
          <t>POLY BAG</t>
        </is>
      </c>
    </row>
    <row r="46">
      <c r="B46" s="7" t="inlineStr">
        <is>
          <t>Garment</t>
        </is>
      </c>
      <c r="C46" s="7" t="inlineStr">
        <is>
          <t>CODE</t>
        </is>
      </c>
      <c r="D46" s="7" t="inlineStr">
        <is>
          <t>Size</t>
        </is>
      </c>
      <c r="E46" s="7" t="inlineStr">
        <is>
          <t>Supplier</t>
        </is>
      </c>
      <c r="F46" s="7" t="inlineStr">
        <is>
          <t>Order Qty</t>
        </is>
      </c>
      <c r="G46" s="7" t="inlineStr">
        <is>
          <t>YY</t>
        </is>
      </c>
      <c r="H46" s="7" t="inlineStr">
        <is>
          <t>Required Qty</t>
        </is>
      </c>
      <c r="I46" s="7" t="inlineStr">
        <is>
          <t>Rejection</t>
        </is>
      </c>
      <c r="J46" s="7" t="inlineStr">
        <is>
          <t>Req In Single</t>
        </is>
      </c>
    </row>
    <row r="47">
      <c r="B47" s="3" t="inlineStr">
        <is>
          <t>ALL GARMENTS</t>
        </is>
      </c>
      <c r="C47" s="3" t="inlineStr">
        <is>
          <t>PB-25X30</t>
        </is>
      </c>
      <c r="D47" s="3" t="inlineStr">
        <is>
          <t>ALL SIZES</t>
        </is>
      </c>
      <c r="E47" s="3" t="inlineStr">
        <is>
          <t>PCS</t>
        </is>
      </c>
      <c r="F47" s="3" t="n">
        <v>1350</v>
      </c>
      <c r="G47" s="3" t="n">
        <v>0.3333</v>
      </c>
      <c r="H47" s="3">
        <f>F47*G47</f>
        <v>450.0</v>
      </c>
      <c r="I47" s="3" t="n">
        <v>1.03</v>
      </c>
      <c r="J47" s="3">
        <f>H47*I47</f>
        <v>463.5</v>
      </c>
    </row>
    <row r="48">
      <c r="D48" s="2" t="inlineStr">
        <is>
          <t>TOTAL</t>
        </is>
      </c>
      <c r="F48" s="3">
        <f>F47</f>
        <v>1350</v>
      </c>
    </row>
    <row r="50">
      <c r="B50" s="11" t="inlineStr">
        <is>
          <t>CARTON BOX</t>
        </is>
      </c>
    </row>
    <row r="51">
      <c r="B51" s="7" t="inlineStr">
        <is>
          <t>Garment</t>
        </is>
      </c>
      <c r="C51" s="7" t="inlineStr">
        <is>
          <t>CODE</t>
        </is>
      </c>
      <c r="D51" s="7" t="inlineStr">
        <is>
          <t>Size</t>
        </is>
      </c>
      <c r="E51" s="7" t="inlineStr">
        <is>
          <t>Supplier</t>
        </is>
      </c>
      <c r="F51" s="7" t="inlineStr">
        <is>
          <t>Order Qty</t>
        </is>
      </c>
      <c r="G51" s="7" t="inlineStr">
        <is>
          <t>YY</t>
        </is>
      </c>
      <c r="H51" s="7" t="inlineStr">
        <is>
          <t>Required Qty</t>
        </is>
      </c>
      <c r="I51" s="7" t="inlineStr">
        <is>
          <t>Rejection</t>
        </is>
      </c>
      <c r="J51" s="7" t="inlineStr">
        <is>
          <t>Req In Single</t>
        </is>
      </c>
    </row>
    <row r="52">
      <c r="B52" s="3" t="inlineStr">
        <is>
          <t>ALL GARMENTS</t>
        </is>
      </c>
      <c r="C52" s="3" t="inlineStr">
        <is>
          <t>5 PLY 60X40X40</t>
        </is>
      </c>
      <c r="D52" s="3" t="inlineStr">
        <is>
          <t>ALL SIZES</t>
        </is>
      </c>
      <c r="E52" s="3" t="inlineStr">
        <is>
          <t>PCS</t>
        </is>
      </c>
      <c r="F52" s="3" t="n">
        <v>1350</v>
      </c>
      <c r="G52" s="3" t="n">
        <v>0.0083</v>
      </c>
      <c r="H52" s="3">
        <f>F52*G52</f>
        <v>11.25</v>
      </c>
      <c r="I52" s="3" t="n">
        <v>1.03</v>
      </c>
      <c r="J52" s="3">
        <f>H52*I52</f>
        <v>11.5875</v>
      </c>
    </row>
    <row r="53">
      <c r="D53" s="2" t="inlineStr">
        <is>
          <t>TOTAL</t>
        </is>
      </c>
      <c r="F53" s="3">
        <f>F52</f>
        <v>1350</v>
      </c>
    </row>
    <row r="55">
      <c r="B55" s="11" t="inlineStr">
        <is>
          <t>SEWING THREAD</t>
        </is>
      </c>
    </row>
    <row r="56">
      <c r="B56" s="7" t="inlineStr">
        <is>
          <t>Garment</t>
        </is>
      </c>
      <c r="C56" s="7" t="inlineStr">
        <is>
          <t>THREAD COLOR</t>
        </is>
      </c>
      <c r="D56" s="7" t="inlineStr">
        <is>
          <t>SHADE</t>
        </is>
      </c>
      <c r="E56" s="7" t="inlineStr">
        <is>
          <t>QUALITY</t>
        </is>
      </c>
      <c r="F56" s="7" t="inlineStr">
        <is>
          <t>METER</t>
        </is>
      </c>
      <c r="G56" s="7" t="inlineStr">
        <is>
          <t>Order Qty</t>
        </is>
      </c>
      <c r="H56" s="7" t="inlineStr">
        <is>
          <t>YY</t>
        </is>
      </c>
      <c r="I56" s="7" t="inlineStr">
        <is>
          <t>Required Qty</t>
        </is>
      </c>
    </row>
    <row r="57">
      <c r="B57" s="3" t="inlineStr">
        <is>
          <t>GARMENT-1</t>
        </is>
      </c>
      <c r="C57" s="3" t="inlineStr">
        <is>
          <t>NAVY</t>
        </is>
      </c>
      <c r="D57" s="3" t="inlineStr">
        <is>
          <t>DTM</t>
        </is>
      </c>
      <c r="E57" s="3" t="inlineStr">
        <is>
          <t>120'S POLY</t>
        </is>
      </c>
      <c r="F57" s="3" t="n">
        <v>5000</v>
      </c>
      <c r="G57" s="3" t="n">
        <v>450</v>
      </c>
      <c r="H57" s="3" t="n">
        <v>85</v>
      </c>
      <c r="I57" s="3">
        <f>G57*H57/5000</f>
        <v>7.65</v>
      </c>
    </row>
    <row r="58">
      <c r="B58" s="3" t="inlineStr">
        <is>
          <t>GARMENT-2</t>
        </is>
      </c>
      <c r="C58" s="3" t="inlineStr">
        <is>
          <t>HEATHER GREY</t>
        </is>
      </c>
      <c r="D58" s="3" t="inlineStr">
        <is>
          <t>DTM</t>
        </is>
      </c>
      <c r="E58" s="3" t="inlineStr">
        <is>
          <t>120'S POLY</t>
        </is>
      </c>
      <c r="F58" s="3" t="n">
        <v>5000</v>
      </c>
      <c r="G58" s="3" t="n">
        <v>450</v>
      </c>
      <c r="H58" s="3" t="n">
        <v>85</v>
      </c>
      <c r="I58" s="3">
        <f>G58*H58/5000</f>
        <v>7.65</v>
      </c>
    </row>
    <row r="59">
      <c r="B59" s="3" t="inlineStr">
        <is>
          <t>GARMENT-3</t>
        </is>
      </c>
      <c r="C59" s="3" t="inlineStr">
        <is>
          <t>BLUSH PINK</t>
        </is>
      </c>
      <c r="D59" s="3" t="inlineStr">
        <is>
          <t>DTM</t>
        </is>
      </c>
      <c r="E59" s="3" t="inlineStr">
        <is>
          <t>120'S POLY</t>
        </is>
      </c>
      <c r="F59" s="3" t="n">
        <v>5000</v>
      </c>
      <c r="G59" s="3" t="n">
        <v>450</v>
      </c>
      <c r="H59" s="3" t="n">
        <v>85</v>
      </c>
      <c r="I59" s="3">
        <f>G59*H59/5000</f>
        <v>7.65</v>
      </c>
    </row>
  </sheetData>
  <mergeCells count="12">
    <mergeCell ref="B1:O1"/>
    <mergeCell ref="E2:G2"/>
    <mergeCell ref="B21:C21"/>
    <mergeCell ref="B15:C15"/>
    <mergeCell ref="E5:G5"/>
    <mergeCell ref="D12:D14"/>
    <mergeCell ref="E4:G4"/>
    <mergeCell ref="E3:G3"/>
    <mergeCell ref="B27:C27"/>
    <mergeCell ref="D24:D26"/>
    <mergeCell ref="D18:D20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2026-10-22T02:52:15Z</dcterms:created>
  <dcterms:modified xmlns:dcterms="http://purl.org/dc/terms/" xmlns:xsi="http://www.w3.org/2001/XMLSchema-instance" xsi:type="dcterms:W3CDTF">2026-10-22T02:52:15Z</dcterms:modified>
</cp:coreProperties>
</file>