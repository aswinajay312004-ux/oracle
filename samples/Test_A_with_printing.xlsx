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-77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FE6"/>
      </patternFill>
    </fill>
  </fills>
  <borders count="9">
    <border>
      <left/>
      <right/>
      <top/>
      <bottom/>
      <diagonal/>
    </border>
    <border>
      <left style="thin">
        <color rgb="009AA5A0"/>
      </left>
      <right style="thin">
        <color rgb="009AA5A0"/>
      </right>
      <top style="thin">
        <color rgb="009AA5A0"/>
      </top>
      <bottom style="thin">
        <color rgb="009AA5A0"/>
      </bottom>
    </border>
    <border>
      <left/>
      <right/>
      <top style="thin">
        <color rgb="009AA5A0"/>
      </top>
      <bottom/>
      <diagonal/>
    </border>
    <border>
      <left/>
      <right style="thin">
        <color rgb="009AA5A0"/>
      </right>
      <top style="thin">
        <color rgb="009AA5A0"/>
      </top>
      <bottom/>
      <diagonal/>
    </border>
    <border>
      <left/>
      <right/>
      <top style="thin">
        <color rgb="009AA5A0"/>
      </top>
      <bottom style="thin">
        <color rgb="009AA5A0"/>
      </bottom>
      <diagonal/>
    </border>
    <border>
      <left/>
      <right style="thin">
        <color rgb="009AA5A0"/>
      </right>
      <top style="thin">
        <color rgb="009AA5A0"/>
      </top>
      <bottom style="thin">
        <color rgb="009AA5A0"/>
      </bottom>
      <diagonal/>
    </border>
    <border>
      <left style="thin">
        <color rgb="009AA5A0"/>
      </left>
      <right/>
      <top/>
      <bottom/>
      <diagonal/>
    </border>
    <border>
      <left style="thin">
        <color rgb="009AA5A0"/>
      </left>
      <right style="thin">
        <color rgb="009AA5A0"/>
      </right>
      <top/>
      <bottom/>
      <diagonal/>
    </border>
    <border>
      <left style="thin">
        <color rgb="009AA5A0"/>
      </left>
      <right style="thin">
        <color rgb="009AA5A0"/>
      </right>
      <top/>
      <bottom style="thin">
        <color rgb="009AA5A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pivotButton="0" quotePrefix="0" xfId="0"/>
    <xf numFmtId="2" fontId="0" fillId="0" borderId="1" pivotButton="0" quotePrefix="0" xfId="0"/>
    <xf numFmtId="0" fontId="0" fillId="0" borderId="8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61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1" t="inlineStr">
        <is>
          <t>BLUE HERON KIDS LTD - BOM</t>
        </is>
      </c>
    </row>
    <row r="2">
      <c r="B2" s="2" t="inlineStr">
        <is>
          <t>BUYER</t>
        </is>
      </c>
      <c r="C2" s="3" t="inlineStr">
        <is>
          <t>BLUE HERON KIDS LTD</t>
        </is>
      </c>
      <c r="D2" s="2" t="inlineStr">
        <is>
          <t>BOM DATE</t>
        </is>
      </c>
      <c r="E2" s="4" t="n">
        <v>46329</v>
      </c>
      <c r="F2" s="5" t="n"/>
      <c r="G2" s="6" t="n"/>
      <c r="I2" s="2" t="inlineStr">
        <is>
          <t>SHIP MODE</t>
        </is>
      </c>
      <c r="J2" s="3" t="inlineStr">
        <is>
          <t>SEA</t>
        </is>
      </c>
    </row>
    <row r="3">
      <c r="B3" s="2" t="inlineStr">
        <is>
          <t>SEASON</t>
        </is>
      </c>
      <c r="C3" s="3" t="inlineStr">
        <is>
          <t>AW-27</t>
        </is>
      </c>
      <c r="D3" s="2" t="inlineStr">
        <is>
          <t>FOB DATE</t>
        </is>
      </c>
      <c r="E3" s="4" t="n">
        <v>46472</v>
      </c>
      <c r="F3" s="5" t="n"/>
      <c r="G3" s="6" t="n"/>
      <c r="I3" s="2" t="inlineStr">
        <is>
          <t>PAYMENT TERMS</t>
        </is>
      </c>
      <c r="J3" s="3" t="inlineStr">
        <is>
          <t>TT 30 DAYS</t>
        </is>
      </c>
    </row>
    <row r="4">
      <c r="B4" s="2" t="inlineStr">
        <is>
          <t>ITEM</t>
        </is>
      </c>
      <c r="C4" s="3" t="inlineStr">
        <is>
          <t>BH-7731</t>
        </is>
      </c>
      <c r="D4" s="2" t="inlineStr">
        <is>
          <t>FAB IH DATE</t>
        </is>
      </c>
      <c r="E4" s="4" t="n">
        <v>46399</v>
      </c>
      <c r="F4" s="5" t="n"/>
      <c r="G4" s="6" t="n"/>
      <c r="I4" s="2" t="inlineStr">
        <is>
          <t>PORT OF LOADING</t>
        </is>
      </c>
      <c r="J4" s="3" t="inlineStr">
        <is>
          <t>CHENNAI</t>
        </is>
      </c>
    </row>
    <row r="5">
      <c r="B5" s="2" t="inlineStr">
        <is>
          <t>DESCRIPTION</t>
        </is>
      </c>
      <c r="C5" s="3" t="inlineStr">
        <is>
          <t>BABY 2PK ORGANIC ROMPER</t>
        </is>
      </c>
      <c r="D5" s="2" t="inlineStr">
        <is>
          <t>CONTRACT</t>
        </is>
      </c>
      <c r="E5" s="3" t="inlineStr">
        <is>
          <t>BH-PO-88214</t>
        </is>
      </c>
      <c r="F5" s="5" t="n"/>
      <c r="G5" s="6" t="n"/>
      <c r="I5" s="2" t="inlineStr">
        <is>
          <t>CURRENCY</t>
        </is>
      </c>
      <c r="J5" s="3" t="inlineStr">
        <is>
          <t>USD</t>
        </is>
      </c>
    </row>
    <row r="6">
      <c r="B6" s="2" t="inlineStr">
        <is>
          <t>MERCHANDISER</t>
        </is>
      </c>
      <c r="C6" s="3" t="inlineStr">
        <is>
          <t>R. DEVIKA</t>
        </is>
      </c>
      <c r="D6" s="2" t="inlineStr">
        <is>
          <t>DESTINATION</t>
        </is>
      </c>
      <c r="E6" s="3" t="inlineStr">
        <is>
          <t>UK - SEA</t>
        </is>
      </c>
      <c r="F6" s="5" t="n"/>
      <c r="G6" s="6" t="n"/>
    </row>
    <row r="8">
      <c r="B8" s="7" t="inlineStr">
        <is>
          <t>OCN</t>
        </is>
      </c>
      <c r="C8" s="7" t="inlineStr">
        <is>
          <t>QTY(IN PACKS)</t>
        </is>
      </c>
      <c r="D8" s="7" t="inlineStr">
        <is>
          <t>QTY(IN PIECES)</t>
        </is>
      </c>
      <c r="G8" s="7" t="inlineStr">
        <is>
          <t>Price in USD</t>
        </is>
      </c>
    </row>
    <row r="9">
      <c r="B9" s="3" t="inlineStr">
        <is>
          <t>BH-OC-27311</t>
        </is>
      </c>
      <c r="C9" s="3" t="n">
        <v>780</v>
      </c>
      <c r="D9" s="3">
        <f>C9*2</f>
        <v>1560</v>
      </c>
      <c r="G9" s="8" t="n">
        <v>4.85</v>
      </c>
    </row>
    <row r="11">
      <c r="B11" s="7" t="inlineStr">
        <is>
          <t>Garment</t>
        </is>
      </c>
      <c r="C11" s="7" t="inlineStr">
        <is>
          <t>Description</t>
        </is>
      </c>
      <c r="D11" s="7" t="inlineStr">
        <is>
          <t>CONTRACT</t>
        </is>
      </c>
      <c r="E11" s="7" t="inlineStr">
        <is>
          <t>0-3M</t>
        </is>
      </c>
      <c r="F11" s="7" t="inlineStr">
        <is>
          <t>3-6M</t>
        </is>
      </c>
      <c r="G11" s="7" t="inlineStr">
        <is>
          <t>6-9M</t>
        </is>
      </c>
      <c r="H11" s="7" t="inlineStr">
        <is>
          <t>9-12M</t>
        </is>
      </c>
      <c r="I11" s="7" t="inlineStr">
        <is>
          <t>12-18M</t>
        </is>
      </c>
      <c r="J11" s="7" t="inlineStr">
        <is>
          <t>18-24M</t>
        </is>
      </c>
      <c r="K11" s="7" t="inlineStr">
        <is>
          <t>Total</t>
        </is>
      </c>
    </row>
    <row r="12">
      <c r="B12" s="3" t="inlineStr">
        <is>
          <t>GARMENT-1 ROMPER</t>
        </is>
      </c>
      <c r="C12" s="3" t="inlineStr">
        <is>
          <t>OATMEAL MELANGE</t>
        </is>
      </c>
      <c r="D12" s="3" t="inlineStr">
        <is>
          <t>BH-PO-88214 DIR</t>
        </is>
      </c>
      <c r="E12" s="3" t="n">
        <v>60</v>
      </c>
      <c r="F12" s="3" t="n">
        <v>120</v>
      </c>
      <c r="G12" s="3" t="n">
        <v>180</v>
      </c>
      <c r="H12" s="3" t="n">
        <v>180</v>
      </c>
      <c r="I12" s="3" t="n">
        <v>150</v>
      </c>
      <c r="J12" s="3" t="n">
        <v>90</v>
      </c>
      <c r="K12" s="3">
        <f>SUM(E12:J12)</f>
        <v>780</v>
      </c>
    </row>
    <row r="13">
      <c r="B13" s="3" t="inlineStr">
        <is>
          <t>GARMENT-2 ROMPER</t>
        </is>
      </c>
      <c r="C13" s="3" t="inlineStr">
        <is>
          <t>SAGE GREEN</t>
        </is>
      </c>
      <c r="D13" s="9" t="n"/>
      <c r="E13" s="3" t="n">
        <v>60</v>
      </c>
      <c r="F13" s="3" t="n">
        <v>120</v>
      </c>
      <c r="G13" s="3" t="n">
        <v>180</v>
      </c>
      <c r="H13" s="3" t="n">
        <v>180</v>
      </c>
      <c r="I13" s="3" t="n">
        <v>150</v>
      </c>
      <c r="J13" s="3" t="n">
        <v>90</v>
      </c>
      <c r="K13" s="3">
        <f>SUM(E13:J13)</f>
        <v>780</v>
      </c>
    </row>
    <row r="14">
      <c r="B14" s="2" t="inlineStr">
        <is>
          <t>Total</t>
        </is>
      </c>
      <c r="C14" s="6" t="n"/>
      <c r="E14" s="3">
        <f>SUM(E12:E13)</f>
        <v>120</v>
      </c>
      <c r="F14" s="3">
        <f>SUM(F12:F13)</f>
        <v>240</v>
      </c>
      <c r="G14" s="3">
        <f>SUM(G12:G13)</f>
        <v>360</v>
      </c>
      <c r="H14" s="3">
        <f>SUM(H12:H13)</f>
        <v>360</v>
      </c>
      <c r="I14" s="3">
        <f>SUM(I12:I13)</f>
        <v>300</v>
      </c>
      <c r="J14" s="3">
        <f>SUM(J12:J13)</f>
        <v>180</v>
      </c>
      <c r="K14" s="3">
        <f>SUM(K12:K13)</f>
        <v>1560</v>
      </c>
    </row>
    <row r="16">
      <c r="B16" s="7" t="inlineStr">
        <is>
          <t>Garment</t>
        </is>
      </c>
      <c r="C16" s="7" t="inlineStr">
        <is>
          <t>Description</t>
        </is>
      </c>
      <c r="D16" s="7" t="inlineStr">
        <is>
          <t>CONTRACT</t>
        </is>
      </c>
      <c r="E16" s="7" t="inlineStr">
        <is>
          <t>0-3M</t>
        </is>
      </c>
      <c r="F16" s="7" t="inlineStr">
        <is>
          <t>3-6M</t>
        </is>
      </c>
      <c r="G16" s="7" t="inlineStr">
        <is>
          <t>6-9M</t>
        </is>
      </c>
      <c r="H16" s="7" t="inlineStr">
        <is>
          <t>9-12M</t>
        </is>
      </c>
      <c r="I16" s="7" t="inlineStr">
        <is>
          <t>12-18M</t>
        </is>
      </c>
      <c r="J16" s="7" t="inlineStr">
        <is>
          <t>18-24M</t>
        </is>
      </c>
      <c r="K16" s="7" t="inlineStr">
        <is>
          <t>Total</t>
        </is>
      </c>
    </row>
    <row r="17">
      <c r="B17" s="3" t="inlineStr">
        <is>
          <t>GARMENT-1 ROMPER</t>
        </is>
      </c>
      <c r="C17" s="3" t="inlineStr">
        <is>
          <t>OATMEAL MELANGE</t>
        </is>
      </c>
      <c r="D17" s="3" t="inlineStr">
        <is>
          <t>SAMPLE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>
        <f>SUM(E17:J17)</f>
        <v>0</v>
      </c>
    </row>
    <row r="18">
      <c r="B18" s="3" t="inlineStr">
        <is>
          <t>GARMENT-2 ROMPER</t>
        </is>
      </c>
      <c r="C18" s="3" t="inlineStr">
        <is>
          <t>SAGE GREEN</t>
        </is>
      </c>
      <c r="D18" s="9" t="n"/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>
        <f>SUM(E18:J18)</f>
        <v>0</v>
      </c>
    </row>
    <row r="19">
      <c r="B19" s="2" t="inlineStr">
        <is>
          <t>Total</t>
        </is>
      </c>
      <c r="C19" s="6" t="n"/>
      <c r="E19" s="3">
        <f>SUM(E17:E18)</f>
        <v>0</v>
      </c>
      <c r="F19" s="3">
        <f>SUM(F17:F18)</f>
        <v>0</v>
      </c>
      <c r="G19" s="3">
        <f>SUM(G17:G18)</f>
        <v>0</v>
      </c>
      <c r="H19" s="3">
        <f>SUM(H17:H18)</f>
        <v>0</v>
      </c>
      <c r="I19" s="3">
        <f>SUM(I17:I18)</f>
        <v>0</v>
      </c>
      <c r="J19" s="3">
        <f>SUM(J17:J18)</f>
        <v>0</v>
      </c>
      <c r="K19" s="3">
        <f>SUM(K17:K18)</f>
        <v>0</v>
      </c>
    </row>
    <row r="21">
      <c r="B21" s="7" t="inlineStr">
        <is>
          <t>Garment</t>
        </is>
      </c>
      <c r="C21" s="7" t="inlineStr">
        <is>
          <t>Description</t>
        </is>
      </c>
      <c r="D21" s="7" t="inlineStr">
        <is>
          <t>CONTRACT</t>
        </is>
      </c>
      <c r="E21" s="7" t="inlineStr">
        <is>
          <t>0-3M</t>
        </is>
      </c>
      <c r="F21" s="7" t="inlineStr">
        <is>
          <t>3-6M</t>
        </is>
      </c>
      <c r="G21" s="7" t="inlineStr">
        <is>
          <t>6-9M</t>
        </is>
      </c>
      <c r="H21" s="7" t="inlineStr">
        <is>
          <t>9-12M</t>
        </is>
      </c>
      <c r="I21" s="7" t="inlineStr">
        <is>
          <t>12-18M</t>
        </is>
      </c>
      <c r="J21" s="7" t="inlineStr">
        <is>
          <t>18-24M</t>
        </is>
      </c>
      <c r="K21" s="7" t="inlineStr">
        <is>
          <t>Total</t>
        </is>
      </c>
    </row>
    <row r="22">
      <c r="B22" s="3" t="inlineStr">
        <is>
          <t>GARMENT-1 ROMPER</t>
        </is>
      </c>
      <c r="C22" s="3" t="inlineStr">
        <is>
          <t>OATMEAL MELANGE</t>
        </is>
      </c>
      <c r="D22" s="3" t="inlineStr">
        <is>
          <t>SUMMARY</t>
        </is>
      </c>
      <c r="E22" s="3" t="n">
        <v>60</v>
      </c>
      <c r="F22" s="3" t="n">
        <v>120</v>
      </c>
      <c r="G22" s="3" t="n">
        <v>180</v>
      </c>
      <c r="H22" s="3" t="n">
        <v>180</v>
      </c>
      <c r="I22" s="3" t="n">
        <v>150</v>
      </c>
      <c r="J22" s="3" t="n">
        <v>90</v>
      </c>
      <c r="K22" s="3">
        <f>SUM(E22:J22)</f>
        <v>780</v>
      </c>
    </row>
    <row r="23">
      <c r="B23" s="3" t="inlineStr">
        <is>
          <t>GARMENT-2 ROMPER</t>
        </is>
      </c>
      <c r="C23" s="3" t="inlineStr">
        <is>
          <t>SAGE GREEN</t>
        </is>
      </c>
      <c r="D23" s="9" t="n"/>
      <c r="E23" s="3" t="n">
        <v>60</v>
      </c>
      <c r="F23" s="3" t="n">
        <v>120</v>
      </c>
      <c r="G23" s="3" t="n">
        <v>180</v>
      </c>
      <c r="H23" s="3" t="n">
        <v>180</v>
      </c>
      <c r="I23" s="3" t="n">
        <v>150</v>
      </c>
      <c r="J23" s="3" t="n">
        <v>90</v>
      </c>
      <c r="K23" s="3">
        <f>SUM(E23:J23)</f>
        <v>780</v>
      </c>
    </row>
    <row r="24">
      <c r="B24" s="2" t="inlineStr">
        <is>
          <t>Total</t>
        </is>
      </c>
      <c r="C24" s="6" t="n"/>
      <c r="E24" s="3">
        <f>SUM(E22:E23)</f>
        <v>120</v>
      </c>
      <c r="F24" s="3">
        <f>SUM(F22:F23)</f>
        <v>240</v>
      </c>
      <c r="G24" s="3">
        <f>SUM(G22:G23)</f>
        <v>360</v>
      </c>
      <c r="H24" s="3">
        <f>SUM(H22:H23)</f>
        <v>360</v>
      </c>
      <c r="I24" s="3">
        <f>SUM(I22:I23)</f>
        <v>300</v>
      </c>
      <c r="J24" s="3">
        <f>SUM(J22:J23)</f>
        <v>180</v>
      </c>
      <c r="K24" s="3">
        <f>SUM(K22:K23)</f>
        <v>1560</v>
      </c>
    </row>
    <row r="26">
      <c r="B26" s="10" t="inlineStr">
        <is>
          <t>FABRIC REQUIREMENT</t>
        </is>
      </c>
    </row>
    <row r="27">
      <c r="B27" s="7" t="inlineStr">
        <is>
          <t>Garment</t>
        </is>
      </c>
      <c r="C27" s="7" t="inlineStr">
        <is>
          <t>Colour Description</t>
        </is>
      </c>
      <c r="D27" s="7" t="inlineStr">
        <is>
          <t>Base Colour</t>
        </is>
      </c>
      <c r="E27" s="7" t="inlineStr">
        <is>
          <t>Fabric Quality</t>
        </is>
      </c>
      <c r="F27" s="7" t="inlineStr">
        <is>
          <t>Gsm</t>
        </is>
      </c>
      <c r="G27" s="7" t="inlineStr">
        <is>
          <t>Content</t>
        </is>
      </c>
      <c r="H27" s="7" t="inlineStr">
        <is>
          <t>Count</t>
        </is>
      </c>
      <c r="I27" s="7" t="inlineStr">
        <is>
          <t>Dia</t>
        </is>
      </c>
      <c r="J27" s="7" t="inlineStr">
        <is>
          <t>Order Qty</t>
        </is>
      </c>
      <c r="K27" s="7" t="inlineStr">
        <is>
          <t>YY</t>
        </is>
      </c>
      <c r="L27" s="7" t="inlineStr">
        <is>
          <t>Requirment</t>
        </is>
      </c>
      <c r="M27" s="7" t="inlineStr">
        <is>
          <t>Rej 3%</t>
        </is>
      </c>
      <c r="N27" s="7" t="inlineStr">
        <is>
          <t>Total Qty</t>
        </is>
      </c>
    </row>
    <row r="28">
      <c r="B28" s="3" t="inlineStr">
        <is>
          <t>Garment - 1 BODY</t>
        </is>
      </c>
      <c r="C28" s="3" t="inlineStr">
        <is>
          <t>OATMEAL MELANGE</t>
        </is>
      </c>
      <c r="D28" s="3" t="inlineStr">
        <is>
          <t>OATMEAL</t>
        </is>
      </c>
      <c r="E28" s="3" t="inlineStr">
        <is>
          <t>Single Jersey</t>
        </is>
      </c>
      <c r="F28" s="3" t="n">
        <v>180</v>
      </c>
      <c r="G28" s="3" t="inlineStr">
        <is>
          <t>100% Organic Cotton</t>
        </is>
      </c>
      <c r="H28" s="3" t="inlineStr">
        <is>
          <t>30'S</t>
        </is>
      </c>
      <c r="I28" s="3" t="inlineStr">
        <is>
          <t>30 Dia</t>
        </is>
      </c>
      <c r="J28" s="3" t="n">
        <v>780</v>
      </c>
      <c r="K28" s="3" t="n">
        <v>0.21</v>
      </c>
      <c r="L28" s="3">
        <f>J28*K28</f>
        <v>163.8</v>
      </c>
      <c r="M28" s="3" t="n">
        <v>1.03</v>
      </c>
      <c r="N28" s="3">
        <f>L28*M28</f>
        <v>168.714</v>
      </c>
    </row>
    <row r="29">
      <c r="B29" s="3" t="inlineStr">
        <is>
          <t>Garment - 1 RIB</t>
        </is>
      </c>
      <c r="C29" s="3" t="inlineStr">
        <is>
          <t>OATMEAL MELANGE</t>
        </is>
      </c>
      <c r="D29" s="3" t="inlineStr">
        <is>
          <t>OATMEAL</t>
        </is>
      </c>
      <c r="E29" s="3" t="inlineStr">
        <is>
          <t>1x1 Rib</t>
        </is>
      </c>
      <c r="F29" s="3" t="n">
        <v>200</v>
      </c>
      <c r="G29" s="3" t="inlineStr">
        <is>
          <t>95% Cotton 5% Elastane</t>
        </is>
      </c>
      <c r="H29" s="3" t="inlineStr">
        <is>
          <t>40'S</t>
        </is>
      </c>
      <c r="I29" s="3" t="inlineStr">
        <is>
          <t>28 Dia</t>
        </is>
      </c>
      <c r="J29" s="3" t="n">
        <v>780</v>
      </c>
      <c r="K29" s="3" t="n">
        <v>0.03</v>
      </c>
      <c r="L29" s="3">
        <f>J29*K29</f>
        <v>23.4</v>
      </c>
      <c r="M29" s="3" t="n">
        <v>1.03</v>
      </c>
      <c r="N29" s="3">
        <f>L29*M29</f>
        <v>24.102</v>
      </c>
    </row>
    <row r="30">
      <c r="B30" s="3" t="inlineStr">
        <is>
          <t>Garment - 2 BODY</t>
        </is>
      </c>
      <c r="C30" s="3" t="inlineStr">
        <is>
          <t>SAGE GREEN</t>
        </is>
      </c>
      <c r="D30" s="3" t="inlineStr">
        <is>
          <t>SAGE</t>
        </is>
      </c>
      <c r="E30" s="3" t="inlineStr">
        <is>
          <t>Single Jersey</t>
        </is>
      </c>
      <c r="F30" s="3" t="n">
        <v>180</v>
      </c>
      <c r="G30" s="3" t="inlineStr">
        <is>
          <t>100% Organic Cotton</t>
        </is>
      </c>
      <c r="H30" s="3" t="inlineStr">
        <is>
          <t>30'S</t>
        </is>
      </c>
      <c r="I30" s="3" t="inlineStr">
        <is>
          <t>30 Dia</t>
        </is>
      </c>
      <c r="J30" s="3" t="n">
        <v>780</v>
      </c>
      <c r="K30" s="3" t="n">
        <v>0.21</v>
      </c>
      <c r="L30" s="3">
        <f>J30*K30</f>
        <v>163.8</v>
      </c>
      <c r="M30" s="3" t="n">
        <v>1.03</v>
      </c>
      <c r="N30" s="3">
        <f>L30*M30</f>
        <v>168.714</v>
      </c>
    </row>
    <row r="31">
      <c r="B31" s="3" t="inlineStr">
        <is>
          <t>Garment - 2 RIB</t>
        </is>
      </c>
      <c r="C31" s="3" t="inlineStr">
        <is>
          <t>SAGE GREEN</t>
        </is>
      </c>
      <c r="D31" s="3" t="inlineStr">
        <is>
          <t>SAGE</t>
        </is>
      </c>
      <c r="E31" s="3" t="inlineStr">
        <is>
          <t>1x1 Rib</t>
        </is>
      </c>
      <c r="F31" s="3" t="n">
        <v>200</v>
      </c>
      <c r="G31" s="3" t="inlineStr">
        <is>
          <t>95% Cotton 5% Elastane</t>
        </is>
      </c>
      <c r="H31" s="3" t="inlineStr">
        <is>
          <t>40'S</t>
        </is>
      </c>
      <c r="I31" s="3" t="inlineStr">
        <is>
          <t>28 Dia</t>
        </is>
      </c>
      <c r="J31" s="3" t="n">
        <v>780</v>
      </c>
      <c r="K31" s="3" t="n">
        <v>0.03</v>
      </c>
      <c r="L31" s="3">
        <f>J31*K31</f>
        <v>23.4</v>
      </c>
      <c r="M31" s="3" t="n">
        <v>1.03</v>
      </c>
      <c r="N31" s="3">
        <f>L31*M31</f>
        <v>24.102</v>
      </c>
    </row>
    <row r="33">
      <c r="B33" s="10" t="inlineStr">
        <is>
          <t>PRINTING</t>
        </is>
      </c>
    </row>
    <row r="34">
      <c r="B34" s="7" t="inlineStr">
        <is>
          <t>Garment</t>
        </is>
      </c>
      <c r="C34" s="7" t="inlineStr">
        <is>
          <t>Colour</t>
        </is>
      </c>
      <c r="D34" s="7" t="inlineStr">
        <is>
          <t>Print Type</t>
        </is>
      </c>
      <c r="E34" s="7" t="inlineStr">
        <is>
          <t>Placement</t>
        </is>
      </c>
      <c r="F34" s="7" t="inlineStr">
        <is>
          <t>No of Colours</t>
        </is>
      </c>
      <c r="G34" s="7" t="inlineStr">
        <is>
          <t>Print Size</t>
        </is>
      </c>
      <c r="H34" s="7" t="inlineStr">
        <is>
          <t>Supplier</t>
        </is>
      </c>
      <c r="I34" s="7" t="inlineStr">
        <is>
          <t>Order Qty</t>
        </is>
      </c>
      <c r="J34" s="7" t="inlineStr">
        <is>
          <t>Rate</t>
        </is>
      </c>
      <c r="K34" s="7" t="inlineStr">
        <is>
          <t>Remarks</t>
        </is>
      </c>
    </row>
    <row r="35">
      <c r="B35" s="3" t="inlineStr">
        <is>
          <t>GARMENT-1</t>
        </is>
      </c>
      <c r="C35" s="3" t="inlineStr">
        <is>
          <t>OATMEAL MELANGE</t>
        </is>
      </c>
      <c r="D35" s="3" t="inlineStr">
        <is>
          <t>Water based print</t>
        </is>
      </c>
      <c r="E35" s="3" t="inlineStr">
        <is>
          <t>Front chest</t>
        </is>
      </c>
      <c r="F35" s="3" t="n">
        <v>2</v>
      </c>
      <c r="G35" s="3" t="inlineStr">
        <is>
          <t>8 x 6 cm</t>
        </is>
      </c>
      <c r="H35" s="3" t="inlineStr">
        <is>
          <t>SRI PRINTS</t>
        </is>
      </c>
      <c r="I35" s="3" t="n">
        <v>780</v>
      </c>
      <c r="J35" s="3" t="n">
        <v>0.12</v>
      </c>
      <c r="K35" s="3" t="inlineStr">
        <is>
          <t>Approve strike-off first</t>
        </is>
      </c>
    </row>
    <row r="36">
      <c r="B36" s="3" t="inlineStr">
        <is>
          <t>GARMENT-2</t>
        </is>
      </c>
      <c r="C36" s="3" t="inlineStr">
        <is>
          <t>SAGE GREEN</t>
        </is>
      </c>
      <c r="D36" s="3" t="inlineStr">
        <is>
          <t>Plastisol print</t>
        </is>
      </c>
      <c r="E36" s="3" t="inlineStr">
        <is>
          <t>Back neck</t>
        </is>
      </c>
      <c r="F36" s="3" t="n">
        <v>1</v>
      </c>
      <c r="G36" s="3" t="inlineStr">
        <is>
          <t>4 x 2 cm</t>
        </is>
      </c>
      <c r="H36" s="3" t="inlineStr">
        <is>
          <t>SRI PRINTS</t>
        </is>
      </c>
      <c r="I36" s="3" t="n">
        <v>780</v>
      </c>
      <c r="J36" s="3" t="n">
        <v>0.12</v>
      </c>
      <c r="K36" s="3" t="inlineStr">
        <is>
          <t>Approve strike-off first</t>
        </is>
      </c>
    </row>
    <row r="38">
      <c r="B38" s="10" t="inlineStr">
        <is>
          <t>CARE LABEL</t>
        </is>
      </c>
    </row>
    <row r="39">
      <c r="B39" s="7" t="inlineStr">
        <is>
          <t>Garment</t>
        </is>
      </c>
      <c r="C39" s="7" t="inlineStr">
        <is>
          <t>CODE</t>
        </is>
      </c>
      <c r="D39" s="7" t="inlineStr">
        <is>
          <t>Size</t>
        </is>
      </c>
      <c r="E39" s="7" t="inlineStr">
        <is>
          <t>Supplier</t>
        </is>
      </c>
      <c r="F39" s="7" t="inlineStr">
        <is>
          <t>Order Qty</t>
        </is>
      </c>
      <c r="G39" s="7" t="inlineStr">
        <is>
          <t>YY</t>
        </is>
      </c>
      <c r="H39" s="7" t="inlineStr">
        <is>
          <t>Required Qty</t>
        </is>
      </c>
      <c r="I39" s="7" t="inlineStr">
        <is>
          <t>Rejection</t>
        </is>
      </c>
      <c r="J39" s="7" t="inlineStr">
        <is>
          <t>Req In Single</t>
        </is>
      </c>
    </row>
    <row r="40">
      <c r="B40" s="3" t="inlineStr">
        <is>
          <t>ALL GARMENTS</t>
        </is>
      </c>
      <c r="C40" s="3" t="inlineStr">
        <is>
          <t>CARE-BH-7731</t>
        </is>
      </c>
      <c r="D40" s="3" t="inlineStr">
        <is>
          <t>ALL SIZES</t>
        </is>
      </c>
      <c r="E40" s="3" t="inlineStr">
        <is>
          <t>MTR</t>
        </is>
      </c>
      <c r="F40" s="3" t="n">
        <v>1560</v>
      </c>
      <c r="G40" s="3" t="n">
        <v>1</v>
      </c>
      <c r="H40" s="3">
        <f>F40*G40</f>
        <v>1560</v>
      </c>
      <c r="I40" s="3" t="n">
        <v>1.03</v>
      </c>
      <c r="J40" s="3">
        <f>H40*I40</f>
        <v>1606.8</v>
      </c>
    </row>
    <row r="41">
      <c r="D41" s="2" t="inlineStr">
        <is>
          <t>TOTAL</t>
        </is>
      </c>
      <c r="F41" s="3">
        <f>F40</f>
        <v>1560</v>
      </c>
    </row>
    <row r="43">
      <c r="B43" s="10" t="inlineStr">
        <is>
          <t>MAIN LABEL</t>
        </is>
      </c>
    </row>
    <row r="44">
      <c r="B44" s="7" t="inlineStr">
        <is>
          <t>Garment</t>
        </is>
      </c>
      <c r="C44" s="7" t="inlineStr">
        <is>
          <t>CODE</t>
        </is>
      </c>
      <c r="D44" s="7" t="inlineStr">
        <is>
          <t>Size</t>
        </is>
      </c>
      <c r="E44" s="7" t="inlineStr">
        <is>
          <t>Supplier</t>
        </is>
      </c>
      <c r="F44" s="7" t="inlineStr">
        <is>
          <t>Order Qty</t>
        </is>
      </c>
      <c r="G44" s="7" t="inlineStr">
        <is>
          <t>YY</t>
        </is>
      </c>
      <c r="H44" s="7" t="inlineStr">
        <is>
          <t>Required Qty</t>
        </is>
      </c>
      <c r="I44" s="7" t="inlineStr">
        <is>
          <t>Rejection</t>
        </is>
      </c>
      <c r="J44" s="7" t="inlineStr">
        <is>
          <t>Req In Single</t>
        </is>
      </c>
    </row>
    <row r="45">
      <c r="B45" s="3" t="inlineStr">
        <is>
          <t>ALL GARMENTS</t>
        </is>
      </c>
      <c r="C45" s="3" t="inlineStr">
        <is>
          <t>ML-BH-7731</t>
        </is>
      </c>
      <c r="D45" s="3" t="inlineStr">
        <is>
          <t>ALL SIZES</t>
        </is>
      </c>
      <c r="E45" s="3" t="inlineStr">
        <is>
          <t>PCS</t>
        </is>
      </c>
      <c r="F45" s="3" t="n">
        <v>1560</v>
      </c>
      <c r="G45" s="3" t="n">
        <v>1</v>
      </c>
      <c r="H45" s="3">
        <f>F45*G45</f>
        <v>1560</v>
      </c>
      <c r="I45" s="3" t="n">
        <v>1.03</v>
      </c>
      <c r="J45" s="3">
        <f>H45*I45</f>
        <v>1606.8</v>
      </c>
    </row>
    <row r="46">
      <c r="D46" s="2" t="inlineStr">
        <is>
          <t>TOTAL</t>
        </is>
      </c>
      <c r="F46" s="3">
        <f>F45</f>
        <v>1560</v>
      </c>
    </row>
    <row r="48">
      <c r="B48" s="10" t="inlineStr">
        <is>
          <t>POLY BAG</t>
        </is>
      </c>
    </row>
    <row r="49">
      <c r="B49" s="7" t="inlineStr">
        <is>
          <t>Garment</t>
        </is>
      </c>
      <c r="C49" s="7" t="inlineStr">
        <is>
          <t>CODE</t>
        </is>
      </c>
      <c r="D49" s="7" t="inlineStr">
        <is>
          <t>Size</t>
        </is>
      </c>
      <c r="E49" s="7" t="inlineStr">
        <is>
          <t>Supplier</t>
        </is>
      </c>
      <c r="F49" s="7" t="inlineStr">
        <is>
          <t>Order Qty</t>
        </is>
      </c>
      <c r="G49" s="7" t="inlineStr">
        <is>
          <t>YY</t>
        </is>
      </c>
      <c r="H49" s="7" t="inlineStr">
        <is>
          <t>Required Qty</t>
        </is>
      </c>
      <c r="I49" s="7" t="inlineStr">
        <is>
          <t>Rejection</t>
        </is>
      </c>
      <c r="J49" s="7" t="inlineStr">
        <is>
          <t>Req In Single</t>
        </is>
      </c>
    </row>
    <row r="50">
      <c r="B50" s="3" t="inlineStr">
        <is>
          <t>ALL GARMENTS</t>
        </is>
      </c>
      <c r="C50" s="3" t="inlineStr">
        <is>
          <t>PB-25X30</t>
        </is>
      </c>
      <c r="D50" s="3" t="inlineStr">
        <is>
          <t>ALL SIZES</t>
        </is>
      </c>
      <c r="E50" s="3" t="inlineStr">
        <is>
          <t>PCS</t>
        </is>
      </c>
      <c r="F50" s="3" t="n">
        <v>1560</v>
      </c>
      <c r="G50" s="3" t="n">
        <v>0.5</v>
      </c>
      <c r="H50" s="3">
        <f>F50*G50</f>
        <v>780.0</v>
      </c>
      <c r="I50" s="3" t="n">
        <v>1.03</v>
      </c>
      <c r="J50" s="3">
        <f>H50*I50</f>
        <v>803.4</v>
      </c>
    </row>
    <row r="51">
      <c r="D51" s="2" t="inlineStr">
        <is>
          <t>TOTAL</t>
        </is>
      </c>
      <c r="F51" s="3">
        <f>F50</f>
        <v>1560</v>
      </c>
    </row>
    <row r="53">
      <c r="B53" s="10" t="inlineStr">
        <is>
          <t>CARTON BOX</t>
        </is>
      </c>
    </row>
    <row r="54">
      <c r="B54" s="7" t="inlineStr">
        <is>
          <t>Garment</t>
        </is>
      </c>
      <c r="C54" s="7" t="inlineStr">
        <is>
          <t>CODE</t>
        </is>
      </c>
      <c r="D54" s="7" t="inlineStr">
        <is>
          <t>Size</t>
        </is>
      </c>
      <c r="E54" s="7" t="inlineStr">
        <is>
          <t>Supplier</t>
        </is>
      </c>
      <c r="F54" s="7" t="inlineStr">
        <is>
          <t>Order Qty</t>
        </is>
      </c>
      <c r="G54" s="7" t="inlineStr">
        <is>
          <t>YY</t>
        </is>
      </c>
      <c r="H54" s="7" t="inlineStr">
        <is>
          <t>Required Qty</t>
        </is>
      </c>
      <c r="I54" s="7" t="inlineStr">
        <is>
          <t>Rejection</t>
        </is>
      </c>
      <c r="J54" s="7" t="inlineStr">
        <is>
          <t>Req In Single</t>
        </is>
      </c>
    </row>
    <row r="55">
      <c r="B55" s="3" t="inlineStr">
        <is>
          <t>ALL GARMENTS</t>
        </is>
      </c>
      <c r="C55" s="3" t="inlineStr">
        <is>
          <t>5 PLY 60X40X40</t>
        </is>
      </c>
      <c r="D55" s="3" t="inlineStr">
        <is>
          <t>ALL SIZES</t>
        </is>
      </c>
      <c r="E55" s="3" t="inlineStr">
        <is>
          <t>PCS</t>
        </is>
      </c>
      <c r="F55" s="3" t="n">
        <v>1560</v>
      </c>
      <c r="G55" s="3" t="n">
        <v>0.0083</v>
      </c>
      <c r="H55" s="3">
        <f>F55*G55</f>
        <v>13.0</v>
      </c>
      <c r="I55" s="3" t="n">
        <v>1.03</v>
      </c>
      <c r="J55" s="3">
        <f>H55*I55</f>
        <v>13.39</v>
      </c>
    </row>
    <row r="56">
      <c r="D56" s="2" t="inlineStr">
        <is>
          <t>TOTAL</t>
        </is>
      </c>
      <c r="F56" s="3">
        <f>F55</f>
        <v>1560</v>
      </c>
    </row>
    <row r="58">
      <c r="B58" s="10" t="inlineStr">
        <is>
          <t>SEWING THREAD</t>
        </is>
      </c>
    </row>
    <row r="59">
      <c r="B59" s="7" t="inlineStr">
        <is>
          <t>Garment</t>
        </is>
      </c>
      <c r="C59" s="7" t="inlineStr">
        <is>
          <t>THREAD COLOR</t>
        </is>
      </c>
      <c r="D59" s="7" t="inlineStr">
        <is>
          <t>SHADE</t>
        </is>
      </c>
      <c r="E59" s="7" t="inlineStr">
        <is>
          <t>QUALITY</t>
        </is>
      </c>
      <c r="F59" s="7" t="inlineStr">
        <is>
          <t>METER</t>
        </is>
      </c>
      <c r="G59" s="7" t="inlineStr">
        <is>
          <t>Order Qty</t>
        </is>
      </c>
      <c r="H59" s="7" t="inlineStr">
        <is>
          <t>YY</t>
        </is>
      </c>
      <c r="I59" s="7" t="inlineStr">
        <is>
          <t>Required Qty</t>
        </is>
      </c>
    </row>
    <row r="60">
      <c r="B60" s="3" t="inlineStr">
        <is>
          <t>GARMENT-1</t>
        </is>
      </c>
      <c r="C60" s="3" t="inlineStr">
        <is>
          <t>OATMEAL MELANGE</t>
        </is>
      </c>
      <c r="D60" s="3" t="inlineStr">
        <is>
          <t>DTM</t>
        </is>
      </c>
      <c r="E60" s="3" t="inlineStr">
        <is>
          <t>120'S POLY</t>
        </is>
      </c>
      <c r="F60" s="3" t="n">
        <v>5000</v>
      </c>
      <c r="G60" s="3" t="n">
        <v>780</v>
      </c>
      <c r="H60" s="3" t="n">
        <v>85</v>
      </c>
      <c r="I60" s="3">
        <f>G60*H60/5000</f>
        <v>13.26</v>
      </c>
    </row>
    <row r="61">
      <c r="B61" s="3" t="inlineStr">
        <is>
          <t>GARMENT-2</t>
        </is>
      </c>
      <c r="C61" s="3" t="inlineStr">
        <is>
          <t>SAGE GREEN</t>
        </is>
      </c>
      <c r="D61" s="3" t="inlineStr">
        <is>
          <t>DTM</t>
        </is>
      </c>
      <c r="E61" s="3" t="inlineStr">
        <is>
          <t>120'S POLY</t>
        </is>
      </c>
      <c r="F61" s="3" t="n">
        <v>5000</v>
      </c>
      <c r="G61" s="3" t="n">
        <v>780</v>
      </c>
      <c r="H61" s="3" t="n">
        <v>85</v>
      </c>
      <c r="I61" s="3">
        <f>G61*H61/5000</f>
        <v>13.26</v>
      </c>
    </row>
  </sheetData>
  <mergeCells count="12">
    <mergeCell ref="B1:O1"/>
    <mergeCell ref="E2:G2"/>
    <mergeCell ref="B24:C24"/>
    <mergeCell ref="E5:G5"/>
    <mergeCell ref="B19:C19"/>
    <mergeCell ref="D17:D18"/>
    <mergeCell ref="B14:C14"/>
    <mergeCell ref="E4:G4"/>
    <mergeCell ref="E3:G3"/>
    <mergeCell ref="D12:D13"/>
    <mergeCell ref="E6:G6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2026-10-22T02:52:15Z</dcterms:created>
  <dcterms:modified xmlns:dcterms="http://purl.org/dc/terms/" xmlns:xsi="http://www.w3.org/2001/XMLSchema-instance" xsi:type="dcterms:W3CDTF">2026-10-22T02:52:15Z</dcterms:modified>
</cp:coreProperties>
</file>